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Калькулятор" sheetId="1" state="visible" r:id="rId1"/>
    <sheet name="Прайс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 ##0 &quot; ₽&quot;"/>
  </numFmts>
  <fonts count="6">
    <font>
      <name val="Calibri"/>
      <family val="2"/>
      <color theme="1"/>
      <sz val="11"/>
      <scheme val="minor"/>
    </font>
    <font>
      <b val="1"/>
      <color rgb="000E363D"/>
      <sz val="14"/>
    </font>
    <font>
      <b val="1"/>
      <color rgb="000E363D"/>
      <sz val="11"/>
    </font>
    <font>
      <b val="1"/>
      <color rgb="00FFFFFF"/>
      <sz val="16"/>
    </font>
    <font>
      <i val="1"/>
      <color rgb="005C7378"/>
      <sz val="9"/>
    </font>
    <font>
      <color rgb="005C7378"/>
      <sz val="9"/>
    </font>
  </fonts>
  <fills count="4">
    <fill>
      <patternFill/>
    </fill>
    <fill>
      <patternFill patternType="gray125"/>
    </fill>
    <fill>
      <patternFill patternType="solid">
        <fgColor rgb="00E3F5F0"/>
      </patternFill>
    </fill>
    <fill>
      <patternFill patternType="solid">
        <fgColor rgb="000E363D"/>
      </patternFill>
    </fill>
  </fills>
  <borders count="5">
    <border>
      <left/>
      <right/>
      <top/>
      <bottom/>
      <diagonal/>
    </border>
    <border>
      <left style="thin">
        <color rgb="00D5E6E6"/>
      </left>
      <right style="thin">
        <color rgb="00D5E6E6"/>
      </right>
      <top style="thin">
        <color rgb="00D5E6E6"/>
      </top>
      <bottom style="thin">
        <color rgb="00D5E6E6"/>
      </bottom>
    </border>
    <border>
      <left/>
      <right/>
      <top style="thin">
        <color rgb="00D5E6E6"/>
      </top>
      <bottom/>
      <diagonal/>
    </border>
    <border>
      <left/>
      <right style="thin">
        <color rgb="00D5E6E6"/>
      </right>
      <top style="thin">
        <color rgb="00D5E6E6"/>
      </top>
      <bottom/>
      <diagonal/>
    </border>
    <border>
      <left/>
      <right style="thin">
        <color rgb="00D5E6E6"/>
      </right>
      <top style="thin">
        <color rgb="00D5E6E6"/>
      </top>
      <bottom style="thin">
        <color rgb="00D5E6E6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2" borderId="1" pivotButton="0" quotePrefix="0" xfId="0"/>
    <xf numFmtId="164" fontId="0" fillId="0" borderId="0" pivotButton="0" quotePrefix="0" xfId="0"/>
    <xf numFmtId="164" fontId="3" fillId="3" borderId="1" applyAlignment="1" pivotButton="0" quotePrefix="0" xfId="0">
      <alignment horizontal="center"/>
    </xf>
    <xf numFmtId="0" fontId="0" fillId="0" borderId="4" pivotButton="0" quotePrefix="0" xfId="0"/>
    <xf numFmtId="0" fontId="4" fillId="0" borderId="0" pivotButton="0" quotePrefix="0" xfId="0"/>
    <xf numFmtId="0" fontId="2" fillId="2" borderId="0" pivotButton="0" quotePrefix="0" xfId="0"/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34" customWidth="1" min="1" max="1"/>
    <col width="26" customWidth="1" min="2" max="2"/>
    <col width="22" customWidth="1" min="4" max="4"/>
    <col width="16" customWidth="1" min="5" max="5"/>
    <col width="26" customWidth="1" min="7" max="7"/>
    <col width="10" customWidth="1" min="8" max="8"/>
  </cols>
  <sheetData>
    <row r="1">
      <c r="A1" s="1" t="inlineStr">
        <is>
          <t>Калькулятор стоимости — ГенералКлининг</t>
        </is>
      </c>
    </row>
    <row r="2">
      <c r="G2" s="2" t="inlineStr">
        <is>
          <t>Справочник: выезд за МКАД</t>
        </is>
      </c>
    </row>
    <row r="3">
      <c r="A3" s="2" t="inlineStr">
        <is>
          <t>Тип уборки</t>
        </is>
      </c>
      <c r="B3" s="3" t="inlineStr">
        <is>
          <t>Генеральная</t>
        </is>
      </c>
      <c r="D3" s="2" t="inlineStr">
        <is>
          <t>n (номер диапазона)</t>
        </is>
      </c>
      <c r="E3">
        <f>IF(B4&gt;120,"—",MAX(0,ROUNDUP((B4-20)/10,0)))</f>
        <v/>
      </c>
      <c r="G3" t="inlineStr">
        <is>
          <t>в пределах МКАД / до 5 км</t>
        </is>
      </c>
      <c r="H3" s="4" t="n">
        <v>0</v>
      </c>
    </row>
    <row r="4">
      <c r="A4" s="2" t="inlineStr">
        <is>
          <t>Площадь, м²</t>
        </is>
      </c>
      <c r="B4" s="3" t="n">
        <v>50</v>
      </c>
      <c r="D4" s="2" t="inlineStr">
        <is>
          <t>База (1 клинер)</t>
        </is>
      </c>
      <c r="E4" s="4">
        <f>IF(B4&gt;120,"",IF(B3="Поддерживающая",4500+250*E3,IF(B3="Генеральная",10000+1000*E3,14000+1000*E3)))</f>
        <v/>
      </c>
      <c r="G4" t="inlineStr">
        <is>
          <t>5–10 км</t>
        </is>
      </c>
      <c r="H4" s="4" t="n">
        <v>2000</v>
      </c>
    </row>
    <row r="5">
      <c r="A5" s="2" t="inlineStr">
        <is>
          <t>Клинеры (1 или 2)</t>
        </is>
      </c>
      <c r="B5" s="3" t="n">
        <v>1</v>
      </c>
      <c r="D5" s="2" t="inlineStr">
        <is>
          <t>Цена уборки</t>
        </is>
      </c>
      <c r="E5" s="4">
        <f>IF(B4&gt;120,"",IF(B5=1,E4,IF(B3="Поддерживающая",E4*1.6,IF(B3="Генеральная",E4*1.5,(E4-4000)*1.5+4000))))</f>
        <v/>
      </c>
      <c r="G5" t="inlineStr">
        <is>
          <t>10–20 км</t>
        </is>
      </c>
      <c r="H5" s="4" t="n">
        <v>4000</v>
      </c>
    </row>
    <row r="6">
      <c r="A6" s="2" t="inlineStr">
        <is>
          <t>Мойка окон, створок (0 если нет)</t>
        </is>
      </c>
      <c r="B6" s="3" t="n">
        <v>0</v>
      </c>
      <c r="D6" s="2" t="inlineStr">
        <is>
          <t>Мойка окон</t>
        </is>
      </c>
      <c r="E6" s="4">
        <f>B6*IF(B7="После ремонта",1000,500)</f>
        <v/>
      </c>
      <c r="G6" t="inlineStr">
        <is>
          <t>20–30 км</t>
        </is>
      </c>
      <c r="H6" s="4" t="n">
        <v>6000</v>
      </c>
    </row>
    <row r="7">
      <c r="A7" s="2" t="inlineStr">
        <is>
          <t>Тип мойки окон</t>
        </is>
      </c>
      <c r="B7" s="3" t="inlineStr">
        <is>
          <t>Обычная</t>
        </is>
      </c>
      <c r="D7" s="2" t="inlineStr">
        <is>
          <t>Выезд за МКАД</t>
        </is>
      </c>
      <c r="E7" s="4">
        <f>VLOOKUP(B8,$G$3:$H$7,2,0)</f>
        <v/>
      </c>
      <c r="G7" t="inlineStr">
        <is>
          <t>30–40 км</t>
        </is>
      </c>
      <c r="H7" s="4" t="n">
        <v>8000</v>
      </c>
    </row>
    <row r="8">
      <c r="A8" s="2" t="inlineStr">
        <is>
          <t>Выезд за МКАД</t>
        </is>
      </c>
      <c r="B8" s="3" t="inlineStr">
        <is>
          <t>в пределах МКАД / до 5 км</t>
        </is>
      </c>
    </row>
    <row r="9">
      <c r="G9" t="n">
        <v>1</v>
      </c>
    </row>
    <row r="10">
      <c r="A10" s="1" t="inlineStr">
        <is>
          <t>ИТОГО</t>
        </is>
      </c>
      <c r="B10" s="5">
        <f>IF(B4&gt;120,"Рассчитать индивидуально",E5+E6+E7)</f>
        <v/>
      </c>
      <c r="C10" s="6" t="n"/>
      <c r="G10" t="n">
        <v>2</v>
      </c>
    </row>
    <row r="12">
      <c r="A12" s="7" t="inlineStr">
        <is>
          <t>Свыше 120 м² или 40 км — «рассчитать индивидуально». Цены «от»; финальную называет менеджер.</t>
        </is>
      </c>
    </row>
  </sheetData>
  <mergeCells count="3">
    <mergeCell ref="A1:C1"/>
    <mergeCell ref="B10:C10"/>
    <mergeCell ref="A12:H12"/>
  </mergeCells>
  <dataValidations count="4">
    <dataValidation sqref="B3" showDropDown="0" showInputMessage="0" showErrorMessage="0" allowBlank="0" type="list">
      <formula1>"Поддерживающая,Генеральная,После ремонта"</formula1>
    </dataValidation>
    <dataValidation sqref="B5" showDropDown="0" showInputMessage="0" showErrorMessage="0" allowBlank="0" type="list">
      <formula1>=$G$9:$G$10</formula1>
    </dataValidation>
    <dataValidation sqref="B7" showDropDown="0" showInputMessage="0" showErrorMessage="0" allowBlank="0" type="list">
      <formula1>"Обычная,После ремонта"</formula1>
    </dataValidation>
    <dataValidation sqref="B8" showDropDown="0" showInputMessage="0" showErrorMessage="0" allowBlank="0" type="list">
      <formula1>=$G$3:$G$7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2" customWidth="1" min="4" max="4"/>
    <col width="12" customWidth="1" min="5" max="5"/>
    <col width="14" customWidth="1" min="6" max="6"/>
    <col width="14" customWidth="1" min="7" max="7"/>
  </cols>
  <sheetData>
    <row r="1">
      <c r="A1" s="1" t="inlineStr">
        <is>
          <t>Прайс (шаг 10 м², ₽)</t>
        </is>
      </c>
    </row>
    <row r="3">
      <c r="A3" s="8" t="inlineStr">
        <is>
          <t>Площадь, м²</t>
        </is>
      </c>
      <c r="B3" s="8" t="inlineStr">
        <is>
          <t>Поддерж 1кл</t>
        </is>
      </c>
      <c r="C3" s="8" t="inlineStr">
        <is>
          <t>Поддерж 2кл</t>
        </is>
      </c>
      <c r="D3" s="8" t="inlineStr">
        <is>
          <t>Генер 1кл</t>
        </is>
      </c>
      <c r="E3" s="8" t="inlineStr">
        <is>
          <t>Генер 2кл</t>
        </is>
      </c>
      <c r="F3" s="8" t="inlineStr">
        <is>
          <t>Послестрой 1кл</t>
        </is>
      </c>
      <c r="G3" s="8" t="inlineStr">
        <is>
          <t>Послестрой 2кл</t>
        </is>
      </c>
    </row>
    <row r="4">
      <c r="A4" t="inlineStr">
        <is>
          <t>до 20</t>
        </is>
      </c>
      <c r="B4" s="4" t="n">
        <v>4500</v>
      </c>
      <c r="C4" s="4" t="n">
        <v>7200</v>
      </c>
      <c r="D4" s="4" t="n">
        <v>10000</v>
      </c>
      <c r="E4" s="4" t="n">
        <v>15000</v>
      </c>
      <c r="F4" s="4" t="n">
        <v>14000</v>
      </c>
      <c r="G4" s="4" t="n">
        <v>19000</v>
      </c>
    </row>
    <row r="5">
      <c r="A5" t="inlineStr">
        <is>
          <t>20–30</t>
        </is>
      </c>
      <c r="B5" s="4" t="n">
        <v>4750</v>
      </c>
      <c r="C5" s="4" t="n">
        <v>7600</v>
      </c>
      <c r="D5" s="4" t="n">
        <v>11000</v>
      </c>
      <c r="E5" s="4" t="n">
        <v>16500</v>
      </c>
      <c r="F5" s="4" t="n">
        <v>15000</v>
      </c>
      <c r="G5" s="4" t="n">
        <v>20500</v>
      </c>
    </row>
    <row r="6">
      <c r="A6" t="inlineStr">
        <is>
          <t>30–40</t>
        </is>
      </c>
      <c r="B6" s="4" t="n">
        <v>5000</v>
      </c>
      <c r="C6" s="4" t="n">
        <v>8000</v>
      </c>
      <c r="D6" s="4" t="n">
        <v>12000</v>
      </c>
      <c r="E6" s="4" t="n">
        <v>18000</v>
      </c>
      <c r="F6" s="4" t="n">
        <v>16000</v>
      </c>
      <c r="G6" s="4" t="n">
        <v>22000</v>
      </c>
    </row>
    <row r="7">
      <c r="A7" t="inlineStr">
        <is>
          <t>40–50</t>
        </is>
      </c>
      <c r="B7" s="4" t="n">
        <v>5250</v>
      </c>
      <c r="C7" s="4" t="n">
        <v>8400</v>
      </c>
      <c r="D7" s="4" t="n">
        <v>13000</v>
      </c>
      <c r="E7" s="4" t="n">
        <v>19500</v>
      </c>
      <c r="F7" s="4" t="n">
        <v>17000</v>
      </c>
      <c r="G7" s="4" t="n">
        <v>23500</v>
      </c>
    </row>
    <row r="8">
      <c r="A8" t="inlineStr">
        <is>
          <t>50–60</t>
        </is>
      </c>
      <c r="B8" s="4" t="n">
        <v>5500</v>
      </c>
      <c r="C8" s="4" t="n">
        <v>8800</v>
      </c>
      <c r="D8" s="4" t="n">
        <v>14000</v>
      </c>
      <c r="E8" s="4" t="n">
        <v>21000</v>
      </c>
      <c r="F8" s="4" t="n">
        <v>18000</v>
      </c>
      <c r="G8" s="4" t="n">
        <v>25000</v>
      </c>
    </row>
    <row r="9">
      <c r="A9" t="inlineStr">
        <is>
          <t>60–70</t>
        </is>
      </c>
      <c r="B9" s="4" t="n">
        <v>5750</v>
      </c>
      <c r="C9" s="4" t="n">
        <v>9200</v>
      </c>
      <c r="D9" s="4" t="n">
        <v>15000</v>
      </c>
      <c r="E9" s="4" t="n">
        <v>22500</v>
      </c>
      <c r="F9" s="4" t="n">
        <v>19000</v>
      </c>
      <c r="G9" s="4" t="n">
        <v>26500</v>
      </c>
    </row>
    <row r="10">
      <c r="A10" t="inlineStr">
        <is>
          <t>70–80</t>
        </is>
      </c>
      <c r="B10" s="4" t="n">
        <v>6000</v>
      </c>
      <c r="C10" s="4" t="n">
        <v>9600</v>
      </c>
      <c r="D10" s="4" t="n">
        <v>16000</v>
      </c>
      <c r="E10" s="4" t="n">
        <v>24000</v>
      </c>
      <c r="F10" s="4" t="n">
        <v>20000</v>
      </c>
      <c r="G10" s="4" t="n">
        <v>28000</v>
      </c>
    </row>
    <row r="11">
      <c r="A11" t="inlineStr">
        <is>
          <t>80–90</t>
        </is>
      </c>
      <c r="B11" s="4" t="n">
        <v>6250</v>
      </c>
      <c r="C11" s="4" t="n">
        <v>10000</v>
      </c>
      <c r="D11" s="4" t="n">
        <v>17000</v>
      </c>
      <c r="E11" s="4" t="n">
        <v>25500</v>
      </c>
      <c r="F11" s="4" t="n">
        <v>21000</v>
      </c>
      <c r="G11" s="4" t="n">
        <v>29500</v>
      </c>
    </row>
    <row r="12">
      <c r="A12" t="inlineStr">
        <is>
          <t>90–100</t>
        </is>
      </c>
      <c r="B12" s="4" t="n">
        <v>6500</v>
      </c>
      <c r="C12" s="4" t="n">
        <v>10400</v>
      </c>
      <c r="D12" s="4" t="n">
        <v>18000</v>
      </c>
      <c r="E12" s="4" t="n">
        <v>27000</v>
      </c>
      <c r="F12" s="4" t="n">
        <v>22000</v>
      </c>
      <c r="G12" s="4" t="n">
        <v>31000</v>
      </c>
    </row>
    <row r="13">
      <c r="A13" t="inlineStr">
        <is>
          <t>100–110</t>
        </is>
      </c>
      <c r="B13" s="4" t="n">
        <v>6750</v>
      </c>
      <c r="C13" s="4" t="n">
        <v>10800</v>
      </c>
      <c r="D13" s="4" t="n">
        <v>19000</v>
      </c>
      <c r="E13" s="4" t="n">
        <v>28500</v>
      </c>
      <c r="F13" s="4" t="n">
        <v>23000</v>
      </c>
      <c r="G13" s="4" t="n">
        <v>32500</v>
      </c>
    </row>
    <row r="14">
      <c r="A14" t="inlineStr">
        <is>
          <t>110–120</t>
        </is>
      </c>
      <c r="B14" s="4" t="n">
        <v>7000</v>
      </c>
      <c r="C14" s="4" t="n">
        <v>11200</v>
      </c>
      <c r="D14" s="4" t="n">
        <v>20000</v>
      </c>
      <c r="E14" s="4" t="n">
        <v>30000</v>
      </c>
      <c r="F14" s="4" t="n">
        <v>24000</v>
      </c>
      <c r="G14" s="4" t="n">
        <v>34000</v>
      </c>
    </row>
    <row r="16">
      <c r="A16" s="9" t="inlineStr">
        <is>
          <t>Формулы: n=МАКС(0;ОКРУГЛВВЕРХ((площадь−20)/10)) · поддерж 1кл=4500+250n · генер 1кл=10000+1000n · послестрой 1кл=14000+1000n · 2 кл: поддерж×1,6, генер×1,5, послестрой=генер×1,5+4000</t>
        </is>
      </c>
    </row>
    <row r="17"/>
    <row r="18"/>
  </sheetData>
  <mergeCells count="1">
    <mergeCell ref="A16:G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2026-07-08T06:14:25Z</dcterms:created>
  <dcterms:modified xsi:type="dcterms:W3CDTF">2026-07-08T06:14:25Z</dcterms:modified>
</cp:coreProperties>
</file>